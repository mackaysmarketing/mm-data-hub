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Cases" sheetId="2" state="visible" r:id="rId2"/>
    <sheet xmlns:r="http://schemas.openxmlformats.org/officeDocument/2006/relationships" name="Step-by-step guide" sheetId="3" state="visible" r:id="rId3"/>
    <sheet xmlns:r="http://schemas.openxmlformats.org/officeDocument/2006/relationships" name="Patterns explained" sheetId="4" state="visible" r:id="rId4"/>
  </sheets>
  <definedNames/>
  <calcPr calcId="124519" fullCalcOnLoad="1"/>
</workbook>
</file>

<file path=xl/styles.xml><?xml version="1.0" encoding="utf-8"?>
<styleSheet xmlns="http://schemas.openxmlformats.org/spreadsheetml/2006/main">
  <numFmts count="2">
    <numFmt numFmtId="164" formatCode="$#,##0.00"/>
    <numFmt numFmtId="165" formatCode="$#,##0.00;[Red]($#,##0.00);&quot;-&quot;"/>
  </numFmts>
  <fonts count="8">
    <font>
      <name val="Calibri"/>
      <family val="2"/>
      <color theme="1"/>
      <sz val="11"/>
      <scheme val="minor"/>
    </font>
    <font>
      <name val="Arial"/>
      <b val="1"/>
      <color rgb="001F4E78"/>
      <sz val="14"/>
    </font>
    <font>
      <name val="Arial"/>
      <i val="1"/>
      <color rgb="00595959"/>
      <sz val="10"/>
    </font>
    <font>
      <name val="Arial"/>
      <sz val="10"/>
    </font>
    <font>
      <name val="Arial"/>
      <b val="1"/>
      <color rgb="001F4E78"/>
      <sz val="11"/>
    </font>
    <font>
      <name val="Arial"/>
      <b val="1"/>
      <color rgb="00FFFFFF"/>
      <sz val="10"/>
    </font>
    <font>
      <name val="Arial"/>
      <b val="1"/>
      <sz val="10"/>
    </font>
    <font>
      <name val="Arial"/>
      <b val="1"/>
      <color rgb="00FFFFFF"/>
      <sz val="11"/>
    </font>
  </fonts>
  <fills count="11">
    <fill>
      <patternFill/>
    </fill>
    <fill>
      <patternFill patternType="gray125"/>
    </fill>
    <fill>
      <patternFill patternType="solid">
        <fgColor rgb="001F4E78"/>
      </patternFill>
    </fill>
    <fill>
      <patternFill patternType="solid">
        <fgColor rgb="00FCE4E4"/>
      </patternFill>
    </fill>
    <fill>
      <patternFill patternType="solid">
        <fgColor rgb="00FDEBD0"/>
      </patternFill>
    </fill>
    <fill>
      <patternFill patternType="solid">
        <fgColor rgb="00EAE4F2"/>
      </patternFill>
    </fill>
    <fill>
      <patternFill patternType="solid">
        <fgColor rgb="00E2EFDA"/>
      </patternFill>
    </fill>
    <fill>
      <patternFill patternType="solid">
        <fgColor rgb="008064A2"/>
      </patternFill>
    </fill>
    <fill>
      <patternFill patternType="solid">
        <fgColor rgb="00C0504D"/>
      </patternFill>
    </fill>
    <fill>
      <patternFill patternType="solid">
        <fgColor rgb="00E26B0A"/>
      </patternFill>
    </fill>
    <fill>
      <patternFill patternType="solid">
        <fgColor rgb="0076933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2" borderId="1" applyAlignment="1" pivotButton="0" quotePrefix="0" xfId="0">
      <alignment horizontal="center" vertical="top" wrapText="1"/>
    </xf>
    <xf numFmtId="0" fontId="3" fillId="3" borderId="1" applyAlignment="1" pivotButton="0" quotePrefix="0" xfId="0">
      <alignment horizontal="center" vertical="top" wrapText="1"/>
    </xf>
    <xf numFmtId="0" fontId="3" fillId="3" borderId="1" applyAlignment="1" pivotButton="0" quotePrefix="0" xfId="0">
      <alignment vertical="top" wrapText="1"/>
    </xf>
    <xf numFmtId="164" fontId="3" fillId="3" borderId="1" applyAlignment="1" pivotButton="0" quotePrefix="0" xfId="0">
      <alignment horizontal="center" vertical="top" wrapText="1"/>
    </xf>
    <xf numFmtId="165" fontId="3" fillId="3" borderId="1" applyAlignment="1" pivotButton="0" quotePrefix="0" xfId="0">
      <alignment horizontal="center" vertical="top" wrapText="1"/>
    </xf>
    <xf numFmtId="0" fontId="3" fillId="4" borderId="1" applyAlignment="1" pivotButton="0" quotePrefix="0" xfId="0">
      <alignment horizontal="center" vertical="top" wrapText="1"/>
    </xf>
    <xf numFmtId="0" fontId="3" fillId="4" borderId="1" applyAlignment="1" pivotButton="0" quotePrefix="0" xfId="0">
      <alignment vertical="top" wrapText="1"/>
    </xf>
    <xf numFmtId="164" fontId="3" fillId="4" borderId="1" applyAlignment="1" pivotButton="0" quotePrefix="0" xfId="0">
      <alignment horizontal="center" vertical="top" wrapText="1"/>
    </xf>
    <xf numFmtId="165" fontId="3" fillId="4" borderId="1" applyAlignment="1" pivotButton="0" quotePrefix="0" xfId="0">
      <alignment horizontal="center" vertical="top" wrapText="1"/>
    </xf>
    <xf numFmtId="0" fontId="3" fillId="5" borderId="1" applyAlignment="1" pivotButton="0" quotePrefix="0" xfId="0">
      <alignment horizontal="center" vertical="top" wrapText="1"/>
    </xf>
    <xf numFmtId="0" fontId="3" fillId="5" borderId="1" applyAlignment="1" pivotButton="0" quotePrefix="0" xfId="0">
      <alignment vertical="top" wrapText="1"/>
    </xf>
    <xf numFmtId="164" fontId="3" fillId="5" borderId="1" applyAlignment="1" pivotButton="0" quotePrefix="0" xfId="0">
      <alignment horizontal="center" vertical="top" wrapText="1"/>
    </xf>
    <xf numFmtId="165" fontId="3" fillId="5" borderId="1" applyAlignment="1" pivotButton="0" quotePrefix="0" xfId="0">
      <alignment horizontal="center" vertical="top" wrapText="1"/>
    </xf>
    <xf numFmtId="0" fontId="3" fillId="6" borderId="1" applyAlignment="1" pivotButton="0" quotePrefix="0" xfId="0">
      <alignment horizontal="center" vertical="top" wrapText="1"/>
    </xf>
    <xf numFmtId="0" fontId="3" fillId="6" borderId="1" applyAlignment="1" pivotButton="0" quotePrefix="0" xfId="0">
      <alignment vertical="top" wrapText="1"/>
    </xf>
    <xf numFmtId="164" fontId="3" fillId="6" borderId="1" applyAlignment="1" pivotButton="0" quotePrefix="0" xfId="0">
      <alignment horizontal="center" vertical="top" wrapText="1"/>
    </xf>
    <xf numFmtId="165" fontId="3" fillId="6" borderId="1" applyAlignment="1" pivotButton="0" quotePrefix="0" xfId="0">
      <alignment horizontal="center" vertical="top" wrapText="1"/>
    </xf>
    <xf numFmtId="0" fontId="6" fillId="0" borderId="0" pivotButton="0" quotePrefix="0" xfId="0"/>
    <xf numFmtId="165" fontId="6" fillId="0" borderId="1" pivotButton="0" quotePrefix="0" xfId="0"/>
    <xf numFmtId="0" fontId="5" fillId="7" borderId="0" applyAlignment="1" pivotButton="0" quotePrefix="0" xfId="0">
      <alignment vertical="top" wrapText="1"/>
    </xf>
    <xf numFmtId="0" fontId="5" fillId="8" borderId="0" applyAlignment="1" pivotButton="0" quotePrefix="0" xfId="0">
      <alignment vertical="top" wrapText="1"/>
    </xf>
    <xf numFmtId="0" fontId="5" fillId="9" borderId="0" applyAlignment="1" pivotButton="0" quotePrefix="0" xfId="0">
      <alignment vertical="top" wrapText="1"/>
    </xf>
    <xf numFmtId="0" fontId="5" fillId="10" borderId="0" applyAlignment="1" pivotButton="0" quotePrefix="0" xfId="0">
      <alignment vertical="top" wrapText="1"/>
    </xf>
    <xf numFmtId="0" fontId="7" fillId="8" borderId="0" pivotButton="0" quotePrefix="0" xfId="0"/>
    <xf numFmtId="0" fontId="7" fillId="9" borderId="0" pivotButton="0" quotePrefix="0" xfId="0"/>
    <xf numFmtId="0" fontId="7" fillId="7" borderId="0" pivotButton="0" quotePrefix="0" xfId="0"/>
    <xf numFmtId="0" fontId="7"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19"/>
  <sheetViews>
    <sheetView showGridLines="0" workbookViewId="0">
      <selection activeCell="A1" sqref="A1"/>
    </sheetView>
  </sheetViews>
  <sheetFormatPr baseColWidth="8" defaultRowHeight="15"/>
  <cols>
    <col width="3" customWidth="1" min="1" max="1"/>
    <col width="110" customWidth="1" min="2" max="2"/>
  </cols>
  <sheetData>
    <row r="1">
      <c r="B1" s="1" t="inlineStr">
        <is>
          <t>Settlement variance investigation — worksheet</t>
        </is>
      </c>
    </row>
    <row r="2">
      <c r="B2" s="2" t="inlineStr">
        <is>
          <t>Built 9 Jul 2026 from the data hub (FreshTrack orders + grower pool settlements). 12 cases to investigate.</t>
        </is>
      </c>
    </row>
    <row r="3" ht="14" customHeight="1">
      <c r="B3" s="3" t="inlineStr"/>
    </row>
    <row r="4">
      <c r="B4" s="4" t="inlineStr">
        <is>
          <t>What this is</t>
        </is>
      </c>
    </row>
    <row r="5" ht="70" customHeight="1">
      <c r="B5" s="3" t="inlineStr">
        <is>
          <t>Mackays sells growers' fruit as their agent. That means, for every load, what the CUSTOMER was invoiced and what the GROWER was paid (before deductions like freight, commission and levies) should be almost the same number. We compared the two across every settled load and product. For 99.6% of lines they match within 1%. This workbook lists the 12 biggest exceptions — together worth about $67,000 — with step-by-step instructions to investigate each one in FreshTrack.</t>
        </is>
      </c>
    </row>
    <row r="6" ht="14" customHeight="1">
      <c r="B6" s="3" t="inlineStr"/>
    </row>
    <row r="7">
      <c r="B7" s="4" t="inlineStr">
        <is>
          <t>The words used in this workbook</t>
        </is>
      </c>
    </row>
    <row r="8" ht="28" customHeight="1">
      <c r="B8" s="3" t="inlineStr">
        <is>
          <t>Load No — the dispatch load number in FreshTrack (what left the packhouse). Type it into the dispatch screen search.</t>
        </is>
      </c>
    </row>
    <row r="9" ht="14" customHeight="1">
      <c r="B9" s="3" t="inlineStr">
        <is>
          <t>Order No / PO — the FreshTrack sales order number and the customer's purchase order reference.</t>
        </is>
      </c>
    </row>
    <row r="10" ht="28" customHeight="1">
      <c r="B10" s="3" t="inlineStr">
        <is>
          <t>GP Schedule — the grower pool settlement run the load was paid in (Grower Pools screen). 'Settlement week' is the week number on that schedule.</t>
        </is>
      </c>
    </row>
    <row r="11" ht="28" customHeight="1">
      <c r="B11" s="3" t="inlineStr">
        <is>
          <t>Grower was paid (gross $) — boxes × the price on the grower pool detail line, BEFORE deductions (freight, commission, levies come off separately). This is not the grower's final cash.</t>
        </is>
      </c>
    </row>
    <row r="12" ht="42" customHeight="1">
      <c r="B12" s="3" t="inlineStr">
        <is>
          <t>Customer invoiced (est. $) — our estimate of the sale value for the SAME boxes, taken from the FreshTrack order line price. Where boxes settled exceed boxes ordered, the estimate is capped at the order line's value (that cap itself is often the clue — see pattern A).</t>
        </is>
      </c>
    </row>
    <row r="13" ht="28" customHeight="1">
      <c r="B13" s="3" t="inlineStr">
        <is>
          <t>Difference — customer invoiced (est.) minus grower gross. Positive = we invoiced more than the grower was paid; negative = the grower was paid more than the order supports.</t>
        </is>
      </c>
    </row>
    <row r="14" ht="14" customHeight="1">
      <c r="B14" s="3" t="inlineStr"/>
    </row>
    <row r="15">
      <c r="B15" s="4" t="inlineStr">
        <is>
          <t>How to work a case</t>
        </is>
      </c>
    </row>
    <row r="16" ht="84" customHeight="1">
      <c r="B16" s="3" t="inlineStr">
        <is>
          <t>1. Open the 'Cases' sheet and pick a case (they are grouped by pattern — same-coloured rows have the same likely cause and are faster to do together).
2. Read its 'What looks wrong' column, then follow the numbered steps for that case on the 'Step-by-step guide' sheet.
3. Write what you find in the 'What you found' column, set the Status, and note any follow-up (e.g. 'raise adjustment', 'fix order price', 'no action — explained').
4. If you can't get to the bottom of a case, set Status to 'Escalated' and say who you passed it to.</t>
        </is>
      </c>
    </row>
    <row r="17" ht="14" customHeight="1">
      <c r="B17" s="3" t="inlineStr"/>
    </row>
    <row r="18">
      <c r="B18" s="4" t="inlineStr">
        <is>
          <t>Important notes</t>
        </is>
      </c>
    </row>
    <row r="19" ht="70" customHeight="1">
      <c r="B19" s="3" t="inlineStr">
        <is>
          <t>• The dollar figures here are investigation estimates built from the data warehouse — the source of truth is always the FreshTrack screen and the actual customer invoice.
• Two settlement schedules (40 and 60) have no grower recorded against them. Whoever investigates cases 1 and 7 should also get those schedules attributed.
• MACBO / MACGT are Mackays' own farms, so several cases are internal — they still matter (they distort grower-pool reporting and the revenue numbers).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4"/>
  <sheetViews>
    <sheetView zoomScale="9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15" customWidth="1" min="3" max="3"/>
    <col width="10" customWidth="1" min="4" max="4"/>
    <col width="14" customWidth="1" min="5" max="5"/>
    <col width="10" customWidth="1" min="6" max="6"/>
    <col width="13" customWidth="1" min="7" max="7"/>
    <col width="11" customWidth="1" min="8" max="8"/>
    <col width="30" customWidth="1" min="9" max="9"/>
    <col width="38" customWidth="1" min="10" max="10"/>
    <col width="9" customWidth="1" min="11" max="11"/>
    <col width="9" customWidth="1" min="12" max="12"/>
    <col width="11" customWidth="1" min="13" max="13"/>
    <col width="11" customWidth="1" min="14" max="14"/>
    <col width="14" customWidth="1" min="15" max="15"/>
    <col width="14" customWidth="1" min="16" max="16"/>
    <col width="13" customWidth="1" min="17" max="17"/>
    <col width="70" customWidth="1" min="18" max="18"/>
    <col width="16" customWidth="1" min="19" max="19"/>
    <col width="45" customWidth="1" min="20" max="20"/>
    <col width="30" customWidth="1" min="21" max="21"/>
  </cols>
  <sheetData>
    <row r="1" ht="42" customHeight="1">
      <c r="A1" s="5" t="inlineStr">
        <is>
          <t>Case</t>
        </is>
      </c>
      <c r="B1" s="5" t="inlineStr">
        <is>
          <t>Pattern</t>
        </is>
      </c>
      <c r="C1" s="5" t="inlineStr">
        <is>
          <t>Load No</t>
        </is>
      </c>
      <c r="D1" s="5" t="inlineStr">
        <is>
          <t>Order No</t>
        </is>
      </c>
      <c r="E1" s="5" t="inlineStr">
        <is>
          <t>Customer PO</t>
        </is>
      </c>
      <c r="F1" s="5" t="inlineStr">
        <is>
          <t>Pack week</t>
        </is>
      </c>
      <c r="G1" s="5" t="inlineStr">
        <is>
          <t>GP schedule(s)</t>
        </is>
      </c>
      <c r="H1" s="5" t="inlineStr">
        <is>
          <t>Settle week(s)</t>
        </is>
      </c>
      <c r="I1" s="5" t="inlineStr">
        <is>
          <t>Grower</t>
        </is>
      </c>
      <c r="J1" s="5" t="inlineStr">
        <is>
          <t>Product</t>
        </is>
      </c>
      <c r="K1" s="5" t="inlineStr">
        <is>
          <t>Boxes settled</t>
        </is>
      </c>
      <c r="L1" s="5" t="inlineStr">
        <is>
          <t>Boxes on order</t>
        </is>
      </c>
      <c r="M1" s="5" t="inlineStr">
        <is>
          <t>Grower price/box</t>
        </is>
      </c>
      <c r="N1" s="5" t="inlineStr">
        <is>
          <t>Order price/box</t>
        </is>
      </c>
      <c r="O1" s="5" t="inlineStr">
        <is>
          <t>Grower was paid (gross $)</t>
        </is>
      </c>
      <c r="P1" s="5" t="inlineStr">
        <is>
          <t>Customer invoiced (est. $)</t>
        </is>
      </c>
      <c r="Q1" s="5" t="inlineStr">
        <is>
          <t>Difference ($)</t>
        </is>
      </c>
      <c r="R1" s="5" t="inlineStr">
        <is>
          <t>What looks wrong (plain English)</t>
        </is>
      </c>
      <c r="S1" s="5" t="inlineStr">
        <is>
          <t>Status</t>
        </is>
      </c>
      <c r="T1" s="5" t="inlineStr">
        <is>
          <t>What you found</t>
        </is>
      </c>
      <c r="U1" s="5" t="inlineStr">
        <is>
          <t>Follow-up action</t>
        </is>
      </c>
    </row>
    <row r="2" ht="110" customHeight="1">
      <c r="A2" s="6" t="n">
        <v>2</v>
      </c>
      <c r="B2" s="6" t="inlineStr">
        <is>
          <t>A</t>
        </is>
      </c>
      <c r="C2" s="6" t="inlineStr">
        <is>
          <t>5014555</t>
        </is>
      </c>
      <c r="D2" s="6" t="inlineStr">
        <is>
          <t>5018405</t>
        </is>
      </c>
      <c r="E2" s="6" t="inlineStr">
        <is>
          <t>8510462806</t>
        </is>
      </c>
      <c r="F2" s="6" t="inlineStr">
        <is>
          <t>Y26W15</t>
        </is>
      </c>
      <c r="G2" s="6" t="inlineStr">
        <is>
          <t>991 and 1054</t>
        </is>
      </c>
      <c r="H2" s="6" t="inlineStr">
        <is>
          <t>12 and 14</t>
        </is>
      </c>
      <c r="I2" s="7" t="inlineStr">
        <is>
          <t>MACBO — Mackays - Bolinda</t>
        </is>
      </c>
      <c r="J2" s="7" t="inlineStr">
        <is>
          <t>Banana Cavendish Premium XL 15kg Carton (Ripe)</t>
        </is>
      </c>
      <c r="K2" s="6" t="n">
        <v>390</v>
      </c>
      <c r="L2" s="6" t="n">
        <v>217</v>
      </c>
      <c r="M2" s="8" t="n">
        <v>46</v>
      </c>
      <c r="N2" s="8" t="n">
        <v>46</v>
      </c>
      <c r="O2" s="9" t="n">
        <v>17940</v>
      </c>
      <c r="P2" s="9" t="n">
        <v>9982</v>
      </c>
      <c r="Q2" s="9">
        <f>P2-O2</f>
        <v/>
      </c>
      <c r="R2" s="7" t="inlineStr">
        <is>
          <t>This load appears in TWO grower pool schedules (991 in week 12, then again 1054 in week 14). Together 390 boxes were settled, but the customer order only shipped 217. The grower was paid for 173 more boxes than the order holds — it looks like part of this load was settled twice.</t>
        </is>
      </c>
      <c r="S2" s="6" t="inlineStr">
        <is>
          <t>Not started</t>
        </is>
      </c>
      <c r="T2" s="7" t="inlineStr"/>
      <c r="U2" s="7" t="inlineStr"/>
    </row>
    <row r="3" ht="110" customHeight="1">
      <c r="A3" s="6" t="n">
        <v>3</v>
      </c>
      <c r="B3" s="6" t="inlineStr">
        <is>
          <t>A</t>
        </is>
      </c>
      <c r="C3" s="6" t="inlineStr">
        <is>
          <t>5011567</t>
        </is>
      </c>
      <c r="D3" s="6" t="inlineStr">
        <is>
          <t>5014451</t>
        </is>
      </c>
      <c r="E3" s="6" t="inlineStr">
        <is>
          <t>8508963000</t>
        </is>
      </c>
      <c r="F3" s="6" t="inlineStr">
        <is>
          <t>Y26W04</t>
        </is>
      </c>
      <c r="G3" s="6" t="inlineStr">
        <is>
          <t>723 and 748</t>
        </is>
      </c>
      <c r="H3" s="6" t="inlineStr">
        <is>
          <t>1 and 2</t>
        </is>
      </c>
      <c r="I3" s="7" t="inlineStr">
        <is>
          <t>MACBO — Mackays - Bolinda</t>
        </is>
      </c>
      <c r="J3" s="7" t="inlineStr">
        <is>
          <t>Banana Cavendish Premium XL 15kg Carton (Ripe)</t>
        </is>
      </c>
      <c r="K3" s="6" t="n">
        <v>288</v>
      </c>
      <c r="L3" s="6" t="n">
        <v>144</v>
      </c>
      <c r="M3" s="8" t="n">
        <v>46</v>
      </c>
      <c r="N3" s="8" t="n">
        <v>46</v>
      </c>
      <c r="O3" s="9" t="n">
        <v>13248</v>
      </c>
      <c r="P3" s="9" t="n">
        <v>6624</v>
      </c>
      <c r="Q3" s="9">
        <f>P3-O3</f>
        <v/>
      </c>
      <c r="R3" s="7" t="inlineStr">
        <is>
          <t>This load appears in TWO consecutive grower pool schedules (723 in week 1, then again 748 in week 2). The same 144 boxes seem to have been settled in BOTH weeks — 288 boxes paid vs 144 shipped. Looks like the load was paid twice, once in each week's pool run.</t>
        </is>
      </c>
      <c r="S3" s="6" t="inlineStr">
        <is>
          <t>Not started</t>
        </is>
      </c>
      <c r="T3" s="7" t="inlineStr"/>
      <c r="U3" s="7" t="inlineStr"/>
    </row>
    <row r="4" ht="110" customHeight="1">
      <c r="A4" s="6" t="n">
        <v>4</v>
      </c>
      <c r="B4" s="6" t="inlineStr">
        <is>
          <t>A</t>
        </is>
      </c>
      <c r="C4" s="6" t="inlineStr">
        <is>
          <t>5011594</t>
        </is>
      </c>
      <c r="D4" s="6" t="inlineStr">
        <is>
          <t>5014472</t>
        </is>
      </c>
      <c r="E4" s="6" t="inlineStr">
        <is>
          <t>8508986385</t>
        </is>
      </c>
      <c r="F4" s="6" t="inlineStr">
        <is>
          <t>Y26W04</t>
        </is>
      </c>
      <c r="G4" s="6" t="inlineStr">
        <is>
          <t>723 and 748</t>
        </is>
      </c>
      <c r="H4" s="6" t="inlineStr">
        <is>
          <t>1 and 2</t>
        </is>
      </c>
      <c r="I4" s="7" t="inlineStr">
        <is>
          <t>MACBO — Mackays - Bolinda</t>
        </is>
      </c>
      <c r="J4" s="7" t="inlineStr">
        <is>
          <t>Banana Cavendish Premium XL 15kg Carton (Ripe)</t>
        </is>
      </c>
      <c r="K4" s="6" t="n">
        <v>288</v>
      </c>
      <c r="L4" s="6" t="n">
        <v>144</v>
      </c>
      <c r="M4" s="8" t="n">
        <v>46</v>
      </c>
      <c r="N4" s="8" t="n">
        <v>46</v>
      </c>
      <c r="O4" s="9" t="n">
        <v>13248</v>
      </c>
      <c r="P4" s="9" t="n">
        <v>6624</v>
      </c>
      <c r="Q4" s="9">
        <f>P4-O4</f>
        <v/>
      </c>
      <c r="R4" s="7" t="inlineStr">
        <is>
          <t>Same picture as case 3 (and same two schedules): 288 boxes settled across weeks 1 and 2 against a 144-box order. Check both cases together — if one is a duplicate run, the other almost certainly is too.</t>
        </is>
      </c>
      <c r="S4" s="6" t="inlineStr">
        <is>
          <t>Not started</t>
        </is>
      </c>
      <c r="T4" s="7" t="inlineStr"/>
      <c r="U4" s="7" t="inlineStr"/>
    </row>
    <row r="5" ht="110" customHeight="1">
      <c r="A5" s="6" t="n">
        <v>5</v>
      </c>
      <c r="B5" s="6" t="inlineStr">
        <is>
          <t>A</t>
        </is>
      </c>
      <c r="C5" s="6" t="inlineStr">
        <is>
          <t>5010981</t>
        </is>
      </c>
      <c r="D5" s="6" t="inlineStr">
        <is>
          <t>5013641</t>
        </is>
      </c>
      <c r="E5" s="6" t="inlineStr">
        <is>
          <t>8508711862</t>
        </is>
      </c>
      <c r="F5" s="6" t="inlineStr">
        <is>
          <t>Y26W02</t>
        </is>
      </c>
      <c r="G5" s="6" t="inlineStr">
        <is>
          <t>677 and 723</t>
        </is>
      </c>
      <c r="H5" s="6" t="inlineStr">
        <is>
          <t>51 and 1</t>
        </is>
      </c>
      <c r="I5" s="7" t="inlineStr">
        <is>
          <t>MACBO — Mackays - Bolinda</t>
        </is>
      </c>
      <c r="J5" s="7" t="inlineStr">
        <is>
          <t>Banana Cavendish Premium XL 15kg Carton (Ripe)</t>
        </is>
      </c>
      <c r="K5" s="6" t="n">
        <v>288</v>
      </c>
      <c r="L5" s="6" t="n">
        <v>144</v>
      </c>
      <c r="M5" s="8" t="n">
        <v>40</v>
      </c>
      <c r="N5" s="8" t="n">
        <v>40</v>
      </c>
      <c r="O5" s="9" t="n">
        <v>11520</v>
      </c>
      <c r="P5" s="9" t="n">
        <v>5760</v>
      </c>
      <c r="Q5" s="9">
        <f>P5-O5</f>
        <v/>
      </c>
      <c r="R5" s="7" t="inlineStr">
        <is>
          <t>Third instance of the same pattern for the same grower: settled in schedule 677 (week 51) and again in 723 (week 1) — 288 boxes paid vs 144 on the order. Note schedule 723 also appears in cases 3 and 4: that week-1 pool run is the common thread and may contain the duplicates.</t>
        </is>
      </c>
      <c r="S5" s="6" t="inlineStr">
        <is>
          <t>Not started</t>
        </is>
      </c>
      <c r="T5" s="7" t="inlineStr"/>
      <c r="U5" s="7" t="inlineStr"/>
    </row>
    <row r="6" ht="110" customHeight="1">
      <c r="A6" s="6" t="n">
        <v>6</v>
      </c>
      <c r="B6" s="6" t="inlineStr">
        <is>
          <t>A</t>
        </is>
      </c>
      <c r="C6" s="6" t="inlineStr">
        <is>
          <t>5003329</t>
        </is>
      </c>
      <c r="D6" s="6" t="inlineStr">
        <is>
          <t>5004011</t>
        </is>
      </c>
      <c r="E6" s="6" t="inlineStr">
        <is>
          <t>3828570</t>
        </is>
      </c>
      <c r="F6" s="6" t="inlineStr">
        <is>
          <t>Y25W28</t>
        </is>
      </c>
      <c r="G6" s="6" t="inlineStr">
        <is>
          <t>70</t>
        </is>
      </c>
      <c r="H6" s="6" t="inlineStr">
        <is>
          <t>26</t>
        </is>
      </c>
      <c r="I6" s="7" t="inlineStr">
        <is>
          <t>SERRA — Serra Farming</t>
        </is>
      </c>
      <c r="J6" s="7" t="inlineStr">
        <is>
          <t>Banana Cavendish Premium XL 15kg Carton (Semi Ripe)</t>
        </is>
      </c>
      <c r="K6" s="6" t="n">
        <v>480</v>
      </c>
      <c r="L6" s="6" t="n">
        <v>480</v>
      </c>
      <c r="M6" s="8" t="n">
        <v>45</v>
      </c>
      <c r="N6" s="8" t="n">
        <v>45</v>
      </c>
      <c r="O6" s="9" t="n">
        <v>21600</v>
      </c>
      <c r="P6" s="9" t="n">
        <v>15709.09</v>
      </c>
      <c r="Q6" s="9">
        <f>P6-O6</f>
        <v/>
      </c>
      <c r="R6" s="7" t="inlineStr">
        <is>
          <t>Order 5004011 is a big multi-load order (4,380 boxes over 4 loads, $174,644). For this product the order line holds 480 boxes, but growers were settled for 660 boxes of it across the order's loads — 180 boxes more than ordered. This load's own numbers line up ($45 both sides); the estimate was scaled down only because of the 180 extra boxes settled elsewhere on the order. Find which load carries the extra 180 boxes.</t>
        </is>
      </c>
      <c r="S6" s="6" t="inlineStr">
        <is>
          <t>Not started</t>
        </is>
      </c>
      <c r="T6" s="7" t="inlineStr"/>
      <c r="U6" s="7" t="inlineStr"/>
    </row>
    <row r="7" ht="110" customHeight="1">
      <c r="A7" s="10" t="n">
        <v>7</v>
      </c>
      <c r="B7" s="10" t="inlineStr">
        <is>
          <t>B</t>
        </is>
      </c>
      <c r="C7" s="10" t="inlineStr">
        <is>
          <t>5003028</t>
        </is>
      </c>
      <c r="D7" s="10" t="inlineStr">
        <is>
          <t>5003911</t>
        </is>
      </c>
      <c r="E7" s="10" t="inlineStr">
        <is>
          <t>561710</t>
        </is>
      </c>
      <c r="F7" s="10" t="inlineStr">
        <is>
          <t>Y25W27</t>
        </is>
      </c>
      <c r="G7" s="10" t="inlineStr">
        <is>
          <t>60</t>
        </is>
      </c>
      <c r="H7" s="10" t="inlineStr">
        <is>
          <t>26</t>
        </is>
      </c>
      <c r="I7" s="11" t="inlineStr">
        <is>
          <t>(no grower recorded on schedule 60)</t>
        </is>
      </c>
      <c r="J7" s="11" t="inlineStr">
        <is>
          <t>Banana Cavendish Premium L 750g Bands - Coles</t>
        </is>
      </c>
      <c r="K7" s="10" t="n">
        <v>132</v>
      </c>
      <c r="L7" s="10" t="n">
        <v>132</v>
      </c>
      <c r="M7" s="12" t="n">
        <v>40.85</v>
      </c>
      <c r="N7" s="12" t="n">
        <v>5</v>
      </c>
      <c r="O7" s="13" t="n">
        <v>5392.2</v>
      </c>
      <c r="P7" s="13" t="n">
        <v>660</v>
      </c>
      <c r="Q7" s="13">
        <f>P7-O7</f>
        <v/>
      </c>
      <c r="R7" s="11" t="inlineStr">
        <is>
          <t>Boxes match exactly (132 both sides), but the PRICES are worlds apart: the grower was paid $40.85 per box while the customer order line says $5.00 per box. $5 cannot be a real per-carton banana price — the order line is almost certainly priced in the wrong unit (e.g. per band or a nominal placeholder). Also: settlement schedule 60 has no grower recorded on it.</t>
        </is>
      </c>
      <c r="S7" s="10" t="inlineStr">
        <is>
          <t>Not started</t>
        </is>
      </c>
      <c r="T7" s="11" t="inlineStr"/>
      <c r="U7" s="11" t="inlineStr"/>
    </row>
    <row r="8" ht="110" customHeight="1">
      <c r="A8" s="10" t="n">
        <v>8</v>
      </c>
      <c r="B8" s="10" t="inlineStr">
        <is>
          <t>B</t>
        </is>
      </c>
      <c r="C8" s="10" t="inlineStr">
        <is>
          <t>5003858</t>
        </is>
      </c>
      <c r="D8" s="10" t="inlineStr">
        <is>
          <t>5004844</t>
        </is>
      </c>
      <c r="E8" s="10" t="inlineStr">
        <is>
          <t>(blank PO)</t>
        </is>
      </c>
      <c r="F8" s="10" t="inlineStr">
        <is>
          <t>Y25W30</t>
        </is>
      </c>
      <c r="G8" s="10" t="inlineStr">
        <is>
          <t>121</t>
        </is>
      </c>
      <c r="H8" s="10" t="inlineStr">
        <is>
          <t>28</t>
        </is>
      </c>
      <c r="I8" s="11" t="inlineStr">
        <is>
          <t>ROCKR — Rock Ridge</t>
        </is>
      </c>
      <c r="J8" s="11" t="inlineStr">
        <is>
          <t>Banana Cavendish Premium L 750g Bands - Coles</t>
        </is>
      </c>
      <c r="K8" s="10" t="n">
        <v>132</v>
      </c>
      <c r="L8" s="10" t="n">
        <v>132</v>
      </c>
      <c r="M8" s="12" t="n">
        <v>40.85</v>
      </c>
      <c r="N8" s="12" t="n">
        <v>10</v>
      </c>
      <c r="O8" s="13" t="n">
        <v>5392.2</v>
      </c>
      <c r="P8" s="13" t="n">
        <v>1320</v>
      </c>
      <c r="Q8" s="13">
        <f>P8-O8</f>
        <v/>
      </c>
      <c r="R8" s="11" t="inlineStr">
        <is>
          <t>Same product and same story as case 7: 132 boxes both sides, grower paid $40.85 per box, order line priced at $10.00 per box. Two different weeks, two different growers, same product — the order-line pricing for '750g Bands - Coles' looks systematically wrong. The PO field on this order is also blank.</t>
        </is>
      </c>
      <c r="S8" s="10" t="inlineStr">
        <is>
          <t>Not started</t>
        </is>
      </c>
      <c r="T8" s="11" t="inlineStr"/>
      <c r="U8" s="11" t="inlineStr"/>
    </row>
    <row r="9" ht="110" customHeight="1">
      <c r="A9" s="14" t="n">
        <v>1</v>
      </c>
      <c r="B9" s="14" t="inlineStr">
        <is>
          <t>C</t>
        </is>
      </c>
      <c r="C9" s="14" t="inlineStr">
        <is>
          <t>5003006</t>
        </is>
      </c>
      <c r="D9" s="14" t="inlineStr">
        <is>
          <t>5003791</t>
        </is>
      </c>
      <c r="E9" s="14" t="inlineStr">
        <is>
          <t>8505059663</t>
        </is>
      </c>
      <c r="F9" s="14" t="inlineStr">
        <is>
          <t>Y25W24</t>
        </is>
      </c>
      <c r="G9" s="14" t="inlineStr">
        <is>
          <t>40</t>
        </is>
      </c>
      <c r="H9" s="14" t="inlineStr">
        <is>
          <t>24</t>
        </is>
      </c>
      <c r="I9" s="15" t="inlineStr">
        <is>
          <t>(no grower recorded on schedule 40)</t>
        </is>
      </c>
      <c r="J9" s="15" t="inlineStr">
        <is>
          <t>Papaya Red Premium 9kg Tray (Ruby Rise)</t>
        </is>
      </c>
      <c r="K9" s="14" t="n">
        <v>21</v>
      </c>
      <c r="L9" s="14" t="n">
        <v>434</v>
      </c>
      <c r="M9" s="16" t="n">
        <v>25</v>
      </c>
      <c r="N9" s="16" t="n"/>
      <c r="O9" s="17" t="n">
        <v>525</v>
      </c>
      <c r="P9" s="17" t="n">
        <v>15393</v>
      </c>
      <c r="Q9" s="17">
        <f>P9-O9</f>
        <v/>
      </c>
      <c r="R9" s="15" t="inlineStr">
        <is>
          <t>The customer order is worth $15,393 (434 boxes), but only ONE grower settlement line — 21 boxes of papaya, $525 — was ever recorded against it. Because nothing else settled, our estimate pushed the whole order value onto those 21 boxes. Either most of this order's fruit was settled under a different load or order, or the load-to-order link is wrong. Also: settlement schedule 40 has no grower recorded on it.</t>
        </is>
      </c>
      <c r="S9" s="14" t="inlineStr">
        <is>
          <t>Not started</t>
        </is>
      </c>
      <c r="T9" s="15" t="inlineStr"/>
      <c r="U9" s="15" t="inlineStr"/>
    </row>
    <row r="10" ht="110" customHeight="1">
      <c r="A10" s="14" t="n">
        <v>12</v>
      </c>
      <c r="B10" s="14" t="inlineStr">
        <is>
          <t>C</t>
        </is>
      </c>
      <c r="C10" s="14" t="inlineStr">
        <is>
          <t>5016492</t>
        </is>
      </c>
      <c r="D10" s="14" t="inlineStr">
        <is>
          <t>5020907</t>
        </is>
      </c>
      <c r="E10" s="14" t="inlineStr">
        <is>
          <t>0111054091</t>
        </is>
      </c>
      <c r="F10" s="14" t="inlineStr">
        <is>
          <t>Y26W23</t>
        </is>
      </c>
      <c r="G10" s="14" t="inlineStr">
        <is>
          <t>1257</t>
        </is>
      </c>
      <c r="H10" s="14" t="inlineStr">
        <is>
          <t>22</t>
        </is>
      </c>
      <c r="I10" s="15" t="inlineStr">
        <is>
          <t>ROLFE — Rolfe Farming</t>
        </is>
      </c>
      <c r="J10" s="15" t="inlineStr">
        <is>
          <t>Papaya Red Premium XXL 10kg Carton (Red Hill)</t>
        </is>
      </c>
      <c r="K10" s="14" t="n">
        <v>328</v>
      </c>
      <c r="L10" s="14" t="n">
        <v>576</v>
      </c>
      <c r="M10" s="16" t="n">
        <v>25</v>
      </c>
      <c r="N10" s="16" t="n"/>
      <c r="O10" s="17" t="n">
        <v>8200</v>
      </c>
      <c r="P10" s="17" t="n">
        <v>10933.33</v>
      </c>
      <c r="Q10" s="17">
        <f>P10-O10</f>
        <v/>
      </c>
      <c r="R10" s="15" t="inlineStr">
        <is>
          <t>Load 5016492 delivered 328 boxes of XXL papaya against order 5020907, but the order has NO line for that product (its lines cover 576 boxes of other papaya, $14,400 total). The grower was paid $8,200 for fruit the order book doesn't itemise. Our estimate gave it a share of the order's unmatched value. Check what the customer was actually invoiced for these 328 boxes — missing line, or substituted product?</t>
        </is>
      </c>
      <c r="S10" s="14" t="inlineStr">
        <is>
          <t>Not started</t>
        </is>
      </c>
      <c r="T10" s="15" t="inlineStr"/>
      <c r="U10" s="15" t="inlineStr"/>
    </row>
    <row r="11" ht="110" customHeight="1">
      <c r="A11" s="18" t="n">
        <v>9</v>
      </c>
      <c r="B11" s="18" t="inlineStr">
        <is>
          <t>D</t>
        </is>
      </c>
      <c r="C11" s="18" t="inlineStr">
        <is>
          <t>M5010777 - 448</t>
        </is>
      </c>
      <c r="D11" s="18" t="inlineStr">
        <is>
          <t>5010777</t>
        </is>
      </c>
      <c r="E11" s="18" t="inlineStr">
        <is>
          <t>Week 46 - 448</t>
        </is>
      </c>
      <c r="F11" s="18" t="inlineStr">
        <is>
          <t>Y25W46</t>
        </is>
      </c>
      <c r="G11" s="18" t="inlineStr">
        <is>
          <t>562</t>
        </is>
      </c>
      <c r="H11" s="18" t="inlineStr">
        <is>
          <t>46</t>
        </is>
      </c>
      <c r="I11" s="19" t="inlineStr">
        <is>
          <t>MACGT — Mackays - Gold Tyne</t>
        </is>
      </c>
      <c r="J11" s="19" t="inlineStr">
        <is>
          <t>Banana Cavendish Premium XL 15kg Carton (Green)</t>
        </is>
      </c>
      <c r="K11" s="18" t="n">
        <v>600</v>
      </c>
      <c r="L11" s="18" t="n">
        <v>600</v>
      </c>
      <c r="M11" s="20" t="n">
        <v>16</v>
      </c>
      <c r="N11" s="20" t="n">
        <v>21</v>
      </c>
      <c r="O11" s="21" t="n">
        <v>9600</v>
      </c>
      <c r="P11" s="21" t="n">
        <v>12600</v>
      </c>
      <c r="Q11" s="21">
        <f>P11-O11</f>
        <v/>
      </c>
      <c r="R11" s="19" t="inlineStr">
        <is>
          <t>Green (unripened) fruit on an internal-style manifest load (note the 'M' load number and the 'Week 46 - 448' PO). The grower side was paid $16.00 per box; the order prices it at $21.00 — a $5.00 per box gap over 600 boxes. If Mackays ripens and re-sells this fruit, that gap may be intended ripening margin — but that means this fruit is NOT handled under plain agency, which matters for how revenue is defined. Needs a commercial answer, not just a data check.</t>
        </is>
      </c>
      <c r="S11" s="18" t="inlineStr">
        <is>
          <t>Not started</t>
        </is>
      </c>
      <c r="T11" s="19" t="inlineStr"/>
      <c r="U11" s="19" t="inlineStr"/>
    </row>
    <row r="12" ht="110" customHeight="1">
      <c r="A12" s="18" t="n">
        <v>10</v>
      </c>
      <c r="B12" s="18" t="inlineStr">
        <is>
          <t>D</t>
        </is>
      </c>
      <c r="C12" s="18" t="inlineStr">
        <is>
          <t>M5019091 - 438</t>
        </is>
      </c>
      <c r="D12" s="18" t="inlineStr">
        <is>
          <t>5019091</t>
        </is>
      </c>
      <c r="E12" s="18" t="inlineStr">
        <is>
          <t>Week 17 - 438</t>
        </is>
      </c>
      <c r="F12" s="18" t="inlineStr">
        <is>
          <t>Y26W17</t>
        </is>
      </c>
      <c r="G12" s="18" t="inlineStr">
        <is>
          <t>1133</t>
        </is>
      </c>
      <c r="H12" s="18" t="inlineStr">
        <is>
          <t>17</t>
        </is>
      </c>
      <c r="I12" s="19" t="inlineStr">
        <is>
          <t>MACBO — Mackays - Bolinda</t>
        </is>
      </c>
      <c r="J12" s="19" t="inlineStr">
        <is>
          <t>Banana Cavendish Premium XL 15kg Carton (Green)</t>
        </is>
      </c>
      <c r="K12" s="18" t="n">
        <v>360</v>
      </c>
      <c r="L12" s="18" t="n">
        <v>360</v>
      </c>
      <c r="M12" s="20" t="n">
        <v>17</v>
      </c>
      <c r="N12" s="20" t="n">
        <v>24</v>
      </c>
      <c r="O12" s="21" t="n">
        <v>6120</v>
      </c>
      <c r="P12" s="21" t="n">
        <v>8640</v>
      </c>
      <c r="Q12" s="21">
        <f>P12-O12</f>
        <v/>
      </c>
      <c r="R12" s="19" t="inlineStr">
        <is>
          <t>Same picture as case 9 on another internal-style manifest load: green fruit, grower paid $17.00 per box, order priced at $24.00 — a $7.00 per box gap over 360 boxes. Investigate together with case 9: is the green-fruit spread a deliberate ripening margin, and is it applied consistently?</t>
        </is>
      </c>
      <c r="S12" s="18" t="inlineStr">
        <is>
          <t>Not started</t>
        </is>
      </c>
      <c r="T12" s="19" t="inlineStr"/>
      <c r="U12" s="19" t="inlineStr"/>
    </row>
    <row r="13" ht="110" customHeight="1">
      <c r="A13" s="18" t="n">
        <v>11</v>
      </c>
      <c r="B13" s="18" t="inlineStr">
        <is>
          <t>D</t>
        </is>
      </c>
      <c r="C13" s="18" t="inlineStr">
        <is>
          <t>5006803</t>
        </is>
      </c>
      <c r="D13" s="18" t="inlineStr">
        <is>
          <t>5008151</t>
        </is>
      </c>
      <c r="E13" s="18" t="inlineStr">
        <is>
          <t>1203303</t>
        </is>
      </c>
      <c r="F13" s="18" t="inlineStr">
        <is>
          <t>Y25W40</t>
        </is>
      </c>
      <c r="G13" s="18" t="inlineStr">
        <is>
          <t>376 and 386</t>
        </is>
      </c>
      <c r="H13" s="18" t="inlineStr">
        <is>
          <t>39</t>
        </is>
      </c>
      <c r="I13" s="19" t="inlineStr">
        <is>
          <t>ZONTA — Zonta's Bananas</t>
        </is>
      </c>
      <c r="J13" s="19" t="inlineStr">
        <is>
          <t>Banana Cavendish Premium XL 15kg Carton (Ripe)</t>
        </is>
      </c>
      <c r="K13" s="18" t="n">
        <v>360</v>
      </c>
      <c r="L13" s="18" t="n">
        <v>360</v>
      </c>
      <c r="M13" s="20" t="n">
        <v>35.77</v>
      </c>
      <c r="N13" s="20" t="n">
        <v>42.69</v>
      </c>
      <c r="O13" s="21" t="n">
        <v>12877.2</v>
      </c>
      <c r="P13" s="21" t="n">
        <v>15368.4</v>
      </c>
      <c r="Q13" s="21">
        <f>P13-O13</f>
        <v/>
      </c>
      <c r="R13" s="19" t="inlineStr">
        <is>
          <t>Boxes match (360 both sides) but the grower was paid $35.77 per box while the customer order says $42.69 (Coles item 5512451) — a $6.92 per box gap. Under agency the grower's price should mirror the sale price (costs come off as itemised deductions, not a lower price). The settlement is also split across two schedules (376 and 386) in the same week — looks like a price adjustment or claim was processed. Find out what happened.</t>
        </is>
      </c>
      <c r="S13" s="18" t="inlineStr">
        <is>
          <t>Not started</t>
        </is>
      </c>
      <c r="T13" s="19" t="inlineStr"/>
      <c r="U13" s="19" t="inlineStr"/>
    </row>
    <row r="14">
      <c r="J14" s="22" t="inlineStr">
        <is>
          <t>Total</t>
        </is>
      </c>
      <c r="O14" s="23">
        <f>SUM(O2:O13)</f>
        <v/>
      </c>
      <c r="P14" s="23">
        <f>SUM(P2:P13)</f>
        <v/>
      </c>
      <c r="Q14" s="23">
        <f>SUM(Q2:Q13)</f>
        <v/>
      </c>
    </row>
  </sheetData>
  <dataValidations count="1">
    <dataValidation sqref="S2:S13" showDropDown="0" showInputMessage="0" showErrorMessage="0" allowBlank="1" type="list">
      <formula1>"Not started,In progress,Explained - no action,Error confirmed - fix needed,Escalated"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B92"/>
  <sheetViews>
    <sheetView showGridLines="0" workbookViewId="0">
      <selection activeCell="A1" sqref="A1"/>
    </sheetView>
  </sheetViews>
  <sheetFormatPr baseColWidth="8" defaultRowHeight="15"/>
  <cols>
    <col width="3" customWidth="1" min="1" max="1"/>
    <col width="115" customWidth="1" min="2" max="2"/>
  </cols>
  <sheetData>
    <row r="1">
      <c r="B1" s="1" t="inlineStr">
        <is>
          <t>Step-by-step guide — one block per case</t>
        </is>
      </c>
    </row>
    <row r="2">
      <c r="B2" s="2" t="inlineStr">
        <is>
          <t>Work the coloured groups together: cases 2–5 (paid twice), 7–8 (price units), 9–10 (green fruit). Tick steps off as you go.</t>
        </is>
      </c>
    </row>
    <row r="4" ht="30" customHeight="1">
      <c r="B4" s="24" t="inlineStr">
        <is>
          <t>Case 1  ·  Load 5003006  ·  Order 5003791  ·  Papaya Red Premium 9kg Tray (Ruby Rise)  ·  (no grower recorded on schedule 40)  ·  difference +$14,868.00</t>
        </is>
      </c>
    </row>
    <row r="5">
      <c r="B5" s="2" t="inlineStr">
        <is>
          <t>C — Fruit settled with no matching order line</t>
        </is>
      </c>
    </row>
    <row r="6" ht="28" customHeight="1">
      <c r="B6" s="3" t="inlineStr">
        <is>
          <t xml:space="preserve">   1.  In FreshTrack, open sales order 5003791 (PO 8505059663) and list its lines — they should total 434 boxes worth $15,393.</t>
        </is>
      </c>
    </row>
    <row r="7" ht="14" customHeight="1">
      <c r="B7" s="3" t="inlineStr">
        <is>
          <t xml:space="preserve">   2.  Open dispatch load 5003006 (pack week Y25W24) and note everything that actually shipped on it.</t>
        </is>
      </c>
    </row>
    <row r="8" ht="28" customHeight="1">
      <c r="B8" s="3" t="inlineStr">
        <is>
          <t xml:space="preserve">   3.  Check whether other loads also delivered this order. If yes, find out why none of their fruit appears in any grower pool settlement.</t>
        </is>
      </c>
    </row>
    <row r="9" ht="28" customHeight="1">
      <c r="B9" s="3" t="inlineStr">
        <is>
          <t xml:space="preserve">   4.  In Grower Pools, open schedule 40 (settlement week 24) and find load 5003006 — confirm only 21 boxes of papaya ($525) settled.</t>
        </is>
      </c>
    </row>
    <row r="10" ht="28" customHeight="1">
      <c r="B10" s="3" t="inlineStr">
        <is>
          <t xml:space="preserve">   5.  Schedule 40 has no grower recorded. Identify who schedule 40 was paid to and get the grower recorded on it.</t>
        </is>
      </c>
    </row>
    <row r="11" ht="28" customHeight="1">
      <c r="B11" s="3" t="inlineStr">
        <is>
          <t xml:space="preserve">   6.  Decide: was the rest of the order's fruit (a) never grower fruit (e.g. purchased stock), (b) settled under a different load/order, or (c) missed in settlement?</t>
        </is>
      </c>
    </row>
    <row r="13" ht="30" customHeight="1">
      <c r="B13" s="25" t="inlineStr">
        <is>
          <t>Case 2  ·  Load 5014555  ·  Order 5018405  ·  Banana Cavendish Premium XL 15kg Carton (Ripe)  ·  MACBO — Mackays - Bolinda  ·  difference −$7,958.00</t>
        </is>
      </c>
    </row>
    <row r="14">
      <c r="B14" s="2" t="inlineStr">
        <is>
          <t>A — Possibly paid twice / more boxes settled than ordered</t>
        </is>
      </c>
    </row>
    <row r="15" ht="14" customHeight="1">
      <c r="B15" s="3" t="inlineStr">
        <is>
          <t xml:space="preserve">   1.  In Grower Pools, open schedule 991 (week 12) and schedule 1054 (week 14).</t>
        </is>
      </c>
    </row>
    <row r="16" ht="28" customHeight="1">
      <c r="B16" s="3" t="inlineStr">
        <is>
          <t xml:space="preserve">   2.  Find load 5014555 in EACH schedule and write down the boxes and dollars settled in each (they should sum to 390 boxes / $17,940).</t>
        </is>
      </c>
    </row>
    <row r="17" ht="14" customHeight="1">
      <c r="B17" s="3" t="inlineStr">
        <is>
          <t xml:space="preserve">   3.  Open sales order 5018405 (PO 8510462806): the order shipped 217 boxes.</t>
        </is>
      </c>
    </row>
    <row r="18" ht="14" customHeight="1">
      <c r="B18" s="3" t="inlineStr">
        <is>
          <t xml:space="preserve">   4.  Compare: which boxes appear in both schedules? 173 boxes look settled twice.</t>
        </is>
      </c>
    </row>
    <row r="19" ht="28" customHeight="1">
      <c r="B19" s="3" t="inlineStr">
        <is>
          <t xml:space="preserve">   5.  Check Mackays - Bolinda's payment statements for weeks 12 and 14 to confirm both settlements were actually paid.</t>
        </is>
      </c>
    </row>
    <row r="20" ht="28" customHeight="1">
      <c r="B20" s="3" t="inlineStr">
        <is>
          <t xml:space="preserve">   6.  If confirmed double-paid: quantify the overpayment (~$7,958 gross) and raise an adjustment. Because MACBO is a Mackays farm, agree internally how to correct it.</t>
        </is>
      </c>
    </row>
    <row r="22" ht="30" customHeight="1">
      <c r="B22" s="25" t="inlineStr">
        <is>
          <t>Case 3  ·  Load 5011567  ·  Order 5014451  ·  Banana Cavendish Premium XL 15kg Carton (Ripe)  ·  MACBO — Mackays - Bolinda  ·  difference −$6,624.00</t>
        </is>
      </c>
    </row>
    <row r="23">
      <c r="B23" s="2" t="inlineStr">
        <is>
          <t>A — Possibly paid twice / more boxes settled than ordered</t>
        </is>
      </c>
    </row>
    <row r="24" ht="14" customHeight="1">
      <c r="B24" s="3" t="inlineStr">
        <is>
          <t xml:space="preserve">   1.  In Grower Pools, open schedule 723 (week 1) and schedule 748 (week 2).</t>
        </is>
      </c>
    </row>
    <row r="25" ht="14" customHeight="1">
      <c r="B25" s="3" t="inlineStr">
        <is>
          <t xml:space="preserve">   2.  Find load 5011567 in EACH schedule — the same 144 boxes appear to be settled in both.</t>
        </is>
      </c>
    </row>
    <row r="26" ht="14" customHeight="1">
      <c r="B26" s="3" t="inlineStr">
        <is>
          <t xml:space="preserve">   3.  Open sales order 5014451 (PO 8508963000) and confirm the order shipped 144 boxes.</t>
        </is>
      </c>
    </row>
    <row r="27" ht="14" customHeight="1">
      <c r="B27" s="3" t="inlineStr">
        <is>
          <t xml:space="preserve">   4.  Check Mackays - Bolinda's payments for weeks 1 and 2 — was the load paid in both?</t>
        </is>
      </c>
    </row>
    <row r="28" ht="28" customHeight="1">
      <c r="B28" s="3" t="inlineStr">
        <is>
          <t xml:space="preserve">   5.  Do cases 3, 4 and 5 together: schedule 723 appears in all of them. Ask whoever ran the week-1 pool whether loads from the prior run were re-included.</t>
        </is>
      </c>
    </row>
    <row r="29" ht="14" customHeight="1">
      <c r="B29" s="3" t="inlineStr">
        <is>
          <t xml:space="preserve">   6.  If double-paid: overpayment is ~$6,624 gross on this load alone.</t>
        </is>
      </c>
    </row>
    <row r="31" ht="30" customHeight="1">
      <c r="B31" s="25" t="inlineStr">
        <is>
          <t>Case 4  ·  Load 5011594  ·  Order 5014472  ·  Banana Cavendish Premium XL 15kg Carton (Ripe)  ·  MACBO — Mackays - Bolinda  ·  difference −$6,624.00</t>
        </is>
      </c>
    </row>
    <row r="32">
      <c r="B32" s="2" t="inlineStr">
        <is>
          <t>A — Possibly paid twice / more boxes settled than ordered</t>
        </is>
      </c>
    </row>
    <row r="33" ht="28" customHeight="1">
      <c r="B33" s="3" t="inlineStr">
        <is>
          <t xml:space="preserve">   1.  Repeat the case-3 steps for load 5011594 (order 5014472, PO 8508986385) — same two schedules (723 and 748), same 288-vs-144 pattern, same ~$6,624 overpayment if confirmed.</t>
        </is>
      </c>
    </row>
    <row r="35" ht="30" customHeight="1">
      <c r="B35" s="25" t="inlineStr">
        <is>
          <t>Case 5  ·  Load 5010981  ·  Order 5013641  ·  Banana Cavendish Premium XL 15kg Carton (Ripe)  ·  MACBO — Mackays - Bolinda  ·  difference −$5,760.00</t>
        </is>
      </c>
    </row>
    <row r="36">
      <c r="B36" s="2" t="inlineStr">
        <is>
          <t>A — Possibly paid twice / more boxes settled than ordered</t>
        </is>
      </c>
    </row>
    <row r="37" ht="14" customHeight="1">
      <c r="B37" s="3" t="inlineStr">
        <is>
          <t xml:space="preserve">   1.  In Grower Pools, open schedule 677 (week 51) and schedule 723 (week 1).</t>
        </is>
      </c>
    </row>
    <row r="38" ht="14" customHeight="1">
      <c r="B38" s="3" t="inlineStr">
        <is>
          <t xml:space="preserve">   2.  Find load 5010981 in each — 288 boxes settled in total vs 144 on order 5013641 (PO 8508711862).</t>
        </is>
      </c>
    </row>
    <row r="39" ht="28" customHeight="1">
      <c r="B39" s="3" t="inlineStr">
        <is>
          <t xml:space="preserve">   3.  This is the third load double-settled where schedule 723 is involved — treat schedule 723 as the prime suspect and check EVERY load in it against the prior week's schedule.</t>
        </is>
      </c>
    </row>
    <row r="40" ht="14" customHeight="1">
      <c r="B40" s="3" t="inlineStr">
        <is>
          <t xml:space="preserve">   4.  If double-paid: ~$5,760 gross on this load.</t>
        </is>
      </c>
    </row>
    <row r="42" ht="30" customHeight="1">
      <c r="B42" s="25" t="inlineStr">
        <is>
          <t>Case 6  ·  Load 5003329  ·  Order 5004011  ·  Banana Cavendish Premium XL 15kg Carton (Semi Ripe)  ·  SERRA — Serra Farming  ·  difference −$5,890.91</t>
        </is>
      </c>
    </row>
    <row r="43">
      <c r="B43" s="2" t="inlineStr">
        <is>
          <t>A — Possibly paid twice / more boxes settled than ordered</t>
        </is>
      </c>
    </row>
    <row r="44" ht="28" customHeight="1">
      <c r="B44" s="3" t="inlineStr">
        <is>
          <t xml:space="preserve">   1.  Open sales order 5004011 (PO 3828570) — a multi-load order: 4,380 boxes, $174,644, delivered by 4 loads.</t>
        </is>
      </c>
    </row>
    <row r="45" ht="14" customHeight="1">
      <c r="B45" s="3" t="inlineStr">
        <is>
          <t xml:space="preserve">   2.  Note its line for Banana XL 15kg Semi Ripe: 480 boxes at $45.00.</t>
        </is>
      </c>
    </row>
    <row r="46" ht="28" customHeight="1">
      <c r="B46" s="3" t="inlineStr">
        <is>
          <t xml:space="preserve">   3.  List the 4 loads that delivered this order and, in Grower Pools, add up the boxes of this product settled per load — the total comes to 660 boxes (180 more than the line).</t>
        </is>
      </c>
    </row>
    <row r="47" ht="14" customHeight="1">
      <c r="B47" s="3" t="inlineStr">
        <is>
          <t xml:space="preserve">   4.  Find which load(s) carry the extra 180 boxes.</t>
        </is>
      </c>
    </row>
    <row r="48" ht="42" customHeight="1">
      <c r="B48" s="3" t="inlineStr">
        <is>
          <t xml:space="preserve">   5.  Check whether those 180 boxes were invoiced to the customer on a DIFFERENT order — if so the load is linked to the wrong order and the link should be fixed; if not, the customer may have been under-invoiced (fruit paid to grower but never billed).</t>
        </is>
      </c>
    </row>
    <row r="50" ht="30" customHeight="1">
      <c r="B50" s="26" t="inlineStr">
        <is>
          <t>Case 7  ·  Load 5003028  ·  Order 5003911  ·  Banana Cavendish Premium L 750g Bands - Coles  ·  (no grower recorded on schedule 60)  ·  difference −$4,732.20</t>
        </is>
      </c>
    </row>
    <row r="51">
      <c r="B51" s="2" t="inlineStr">
        <is>
          <t>B — Order price looks like the wrong unit</t>
        </is>
      </c>
    </row>
    <row r="52" ht="28" customHeight="1">
      <c r="B52" s="3" t="inlineStr">
        <is>
          <t xml:space="preserve">   1.  Open sales order 5003911 (PO 561710) and look at the '750g Bands - Coles' line: 132 boxes at $5.00 per box.</t>
        </is>
      </c>
    </row>
    <row r="53" ht="14" customHeight="1">
      <c r="B53" s="3" t="inlineStr">
        <is>
          <t xml:space="preserve">   2.  Check what unit that $5.00 is actually meant to be (per band? per package? placeholder?).</t>
        </is>
      </c>
    </row>
    <row r="54" ht="14" customHeight="1">
      <c r="B54" s="3" t="inlineStr">
        <is>
          <t xml:space="preserve">   3.  Pull the invoice actually sent to Coles for PO 561710 and note the real invoiced amount.</t>
        </is>
      </c>
    </row>
    <row r="55" ht="28" customHeight="1">
      <c r="B55" s="3" t="inlineStr">
        <is>
          <t xml:space="preserve">   4.  In Grower Pools, open schedule 60 (week 26): the grower side paid $40.85 per box, $5,392.20 total. Schedule 60 has NO grower recorded — identify who it was paid to and get it recorded.</t>
        </is>
      </c>
    </row>
    <row r="56" ht="42" customHeight="1">
      <c r="B56" s="3" t="inlineStr">
        <is>
          <t xml:space="preserve">   5.  Do this together with case 8 — same product, same problem in a different week, so it is likely every '750g Bands' order line is priced this way. If confirmed, ask for the price basis on this product to be fixed going forward.</t>
        </is>
      </c>
    </row>
    <row r="58" ht="30" customHeight="1">
      <c r="B58" s="26" t="inlineStr">
        <is>
          <t>Case 8  ·  Load 5003858  ·  Order 5004844  ·  Banana Cavendish Premium L 750g Bands - Coles  ·  ROCKR — Rock Ridge  ·  difference −$4,072.20</t>
        </is>
      </c>
    </row>
    <row r="59">
      <c r="B59" s="2" t="inlineStr">
        <is>
          <t>B — Order price looks like the wrong unit</t>
        </is>
      </c>
    </row>
    <row r="60" ht="28" customHeight="1">
      <c r="B60" s="3" t="inlineStr">
        <is>
          <t xml:space="preserve">   1.  Open sales order 5004844 — note the PO field is BLANK; find the customer reference from the order screen.</t>
        </is>
      </c>
    </row>
    <row r="61" ht="14" customHeight="1">
      <c r="B61" s="3" t="inlineStr">
        <is>
          <t xml:space="preserve">   2.  Its '750g Bands - Coles' line: 132 boxes at $10.00 per box. Same unit question as case 7.</t>
        </is>
      </c>
    </row>
    <row r="62" ht="14" customHeight="1">
      <c r="B62" s="3" t="inlineStr">
        <is>
          <t xml:space="preserve">   3.  Pull the actual Coles invoice for this delivery (week Y25W30, load 5003858).</t>
        </is>
      </c>
    </row>
    <row r="63" ht="14" customHeight="1">
      <c r="B63" s="3" t="inlineStr">
        <is>
          <t xml:space="preserve">   4.  In Grower Pools, open schedule 121 (week 28): Rock Ridge was paid $40.85 per box, $5,392.20.</t>
        </is>
      </c>
    </row>
    <row r="64" ht="14" customHeight="1">
      <c r="B64" s="3" t="inlineStr">
        <is>
          <t xml:space="preserve">   5.  Conclude with case 7: is the order book simply not carrying real prices for banded bananas?</t>
        </is>
      </c>
    </row>
    <row r="66" ht="30" customHeight="1">
      <c r="B66" s="27" t="inlineStr">
        <is>
          <t>Case 9  ·  Load M5010777 - 448  ·  Order 5010777  ·  Banana Cavendish Premium XL 15kg Carton (Green)  ·  MACGT — Mackays - Gold Tyne  ·  difference +$3,000.00</t>
        </is>
      </c>
    </row>
    <row r="67">
      <c r="B67" s="2" t="inlineStr">
        <is>
          <t>D — Grower price differs from customer price</t>
        </is>
      </c>
    </row>
    <row r="68" ht="28" customHeight="1">
      <c r="B68" s="3" t="inlineStr">
        <is>
          <t xml:space="preserve">   1.  Open dispatch load M5010777 - 448 (pack week Y25W46) — note this is a manifest-style load; the order PO literally reads 'Week 46 - 448'.</t>
        </is>
      </c>
    </row>
    <row r="69" ht="28" customHeight="1">
      <c r="B69" s="3" t="inlineStr">
        <is>
          <t xml:space="preserve">   2.  Open order 5010777 and identify the buyer — is this an internal transfer to a Mackays ripening facility, or an external customer?</t>
        </is>
      </c>
    </row>
    <row r="70" ht="28" customHeight="1">
      <c r="B70" s="3" t="inlineStr">
        <is>
          <t xml:space="preserve">   3.  The grower side (schedule 562, week 46, Mackays - Gold Tyne) was paid $16.00 per box for 600 green boxes; the order prices them at $21.00.</t>
        </is>
      </c>
    </row>
    <row r="71" ht="14" customHeight="1">
      <c r="B71" s="3" t="inlineStr">
        <is>
          <t xml:space="preserve">   4.  Ask commercial: is the $5.00 per box gap intended ripening margin on green fruit?</t>
        </is>
      </c>
    </row>
    <row r="72" ht="28" customHeight="1">
      <c r="B72" s="3" t="inlineStr">
        <is>
          <t xml:space="preserve">   5.  Record the answer — it feeds directly into how Mackays revenue is defined (this sprint's revenue-class checkpoint), because margin taken this way bypasses the charge/commission system entirely.</t>
        </is>
      </c>
    </row>
    <row r="74" ht="30" customHeight="1">
      <c r="B74" s="27" t="inlineStr">
        <is>
          <t>Case 10  ·  Load M5019091 - 438  ·  Order 5019091  ·  Banana Cavendish Premium XL 15kg Carton (Green)  ·  MACBO — Mackays - Bolinda  ·  difference +$2,520.00</t>
        </is>
      </c>
    </row>
    <row r="75">
      <c r="B75" s="2" t="inlineStr">
        <is>
          <t>D — Grower price differs from customer price</t>
        </is>
      </c>
    </row>
    <row r="76" ht="28" customHeight="1">
      <c r="B76" s="3" t="inlineStr">
        <is>
          <t xml:space="preserve">   1.  Repeat case 9 for load M5019091 - 438 (order 5019091, 'Week 17 - 438'): 360 green boxes, grower (Mackays - Bolinda, schedule 1133) paid $17.00 per box vs $24.00 on the order — a $7.00 gap.</t>
        </is>
      </c>
    </row>
    <row r="77" ht="28" customHeight="1">
      <c r="B77" s="3" t="inlineStr">
        <is>
          <t xml:space="preserve">   2.  Compare the two: the spread is $5 in one and $7 in the other. If this is policy, is it meant to vary?</t>
        </is>
      </c>
    </row>
    <row r="79" ht="30" customHeight="1">
      <c r="B79" s="27" t="inlineStr">
        <is>
          <t>Case 11  ·  Load 5006803  ·  Order 5008151  ·  Banana Cavendish Premium XL 15kg Carton (Ripe)  ·  ZONTA — Zonta's Bananas  ·  difference +$2,491.20</t>
        </is>
      </c>
    </row>
    <row r="80">
      <c r="B80" s="2" t="inlineStr">
        <is>
          <t>D — Grower price differs from customer price</t>
        </is>
      </c>
    </row>
    <row r="81" ht="28" customHeight="1">
      <c r="B81" s="3" t="inlineStr">
        <is>
          <t xml:space="preserve">   1.  Open dispatch load 5006803 and sales order 5008151 (PO 1203303, Coles item 5512451): 360 boxes at $42.69 per box.</t>
        </is>
      </c>
    </row>
    <row r="82" ht="42" customHeight="1">
      <c r="B82" s="3" t="inlineStr">
        <is>
          <t xml:space="preserve">   2.  In Grower Pools, the same 360 boxes were settled to Zonta's Bananas at $35.77 per box, split across two schedules (376 and 386) in week 39 — a split like that usually means a correction or claim was processed.</t>
        </is>
      </c>
    </row>
    <row r="83" ht="14" customHeight="1">
      <c r="B83" s="3" t="inlineStr">
        <is>
          <t xml:space="preserve">   3.  Check the load and order for claims, rejections or price adjustments around week 39.</t>
        </is>
      </c>
    </row>
    <row r="84" ht="42" customHeight="1">
      <c r="B84" s="3" t="inlineStr">
        <is>
          <t xml:space="preserve">   4.  Ask: why was the grower's pool price $6.92 under the invoice price? Under agency, costs should come off as itemised deductions (freight, commission, levies), not by quietly lowering the price. If this was a claim, it should be visible as a deduction line.</t>
        </is>
      </c>
    </row>
    <row r="86" ht="30" customHeight="1">
      <c r="B86" s="24" t="inlineStr">
        <is>
          <t>Case 12  ·  Load 5016492  ·  Order 5020907  ·  Papaya Red Premium XXL 10kg Carton (Red Hill)  ·  ROLFE — Rolfe Farming  ·  difference +$2,733.33</t>
        </is>
      </c>
    </row>
    <row r="87">
      <c r="B87" s="2" t="inlineStr">
        <is>
          <t>C — Fruit settled with no matching order line</t>
        </is>
      </c>
    </row>
    <row r="88" ht="28" customHeight="1">
      <c r="B88" s="3" t="inlineStr">
        <is>
          <t xml:space="preserve">   1.  Open sales order 5020907 (PO 0111054091) and list its lines: 576 boxes of papaya, $14,400 — confirm there is NO line for XXL 10kg 'Red Hill' papaya.</t>
        </is>
      </c>
    </row>
    <row r="89" ht="14" customHeight="1">
      <c r="B89" s="3" t="inlineStr">
        <is>
          <t xml:space="preserve">   2.  Open dispatch load 5016492 (week Y26W23) and confirm 328 boxes of XXL papaya shipped on it.</t>
        </is>
      </c>
    </row>
    <row r="90" ht="28" customHeight="1">
      <c r="B90" s="3" t="inlineStr">
        <is>
          <t xml:space="preserve">   3.  Find what the customer was actually invoiced for those 328 boxes: was a line added later, was a different product code billed (substitution), or was it never billed?</t>
        </is>
      </c>
    </row>
    <row r="91" ht="14" customHeight="1">
      <c r="B91" s="3" t="inlineStr">
        <is>
          <t xml:space="preserve">   4.  In Grower Pools, schedule 1257 (week 22) paid Rolfe Farming $8,200 for this fruit.</t>
        </is>
      </c>
    </row>
    <row r="92" ht="28" customHeight="1">
      <c r="B92" s="3" t="inlineStr">
        <is>
          <t xml:space="preserve">   5.  If the fruit was billed under a different product code, note it — product substitutions between packing and invoicing will keep producing gaps like this one.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1:B13"/>
  <sheetViews>
    <sheetView showGridLines="0" workbookViewId="0">
      <selection activeCell="A1" sqref="A1"/>
    </sheetView>
  </sheetViews>
  <sheetFormatPr baseColWidth="8" defaultRowHeight="15"/>
  <cols>
    <col width="3" customWidth="1" min="1" max="1"/>
    <col width="112" customWidth="1" min="2" max="2"/>
  </cols>
  <sheetData>
    <row r="1">
      <c r="B1" s="1" t="inlineStr">
        <is>
          <t>The four patterns</t>
        </is>
      </c>
    </row>
    <row r="3">
      <c r="B3" s="28" t="inlineStr">
        <is>
          <t>Pattern A — Possibly paid twice / more boxes settled than ordered   (cases 2, 3, 4, 5, 6)</t>
        </is>
      </c>
    </row>
    <row r="4" ht="84" customHeight="1">
      <c r="B4" s="3" t="inlineStr">
        <is>
          <t>The grower pool settled MORE boxes for a load than the customer order shipped — in cases 3, 4 and 5 exactly double, with the same load sitting in two consecutive weekly schedules. The likely cause is a load being re-included in the next week's pool run (schedule 723, settlement week 1, appears in three of the cases — check that whole run). Case 6 is the multi-load variant: the order as a whole was over-settled by 180 boxes. If confirmed, these are recoverable overpayments (~$27k gross across the five cases).</t>
        </is>
      </c>
    </row>
    <row r="6">
      <c r="B6" s="29" t="inlineStr">
        <is>
          <t>Pattern B — Order price looks like the wrong unit   (cases 7, 8)</t>
        </is>
      </c>
    </row>
    <row r="7" ht="70" customHeight="1">
      <c r="B7" s="3" t="inlineStr">
        <is>
          <t>For banded bananas ('750g Bands - Coles') the order lines are priced at $5–$10 per box while growers are paid ~$41 per box. Boxes match exactly, so nobody was over/under-shipped — the order book price basis is wrong (per band instead of per carton, or a placeholder). The fix is in how these order lines are priced; also confirm what Coles was actually invoiced.</t>
        </is>
      </c>
    </row>
    <row r="9">
      <c r="B9" s="30" t="inlineStr">
        <is>
          <t>Pattern C — Fruit settled with no matching order line   (cases 1, 12)</t>
        </is>
      </c>
    </row>
    <row r="10" ht="70" customHeight="1">
      <c r="B10" s="3" t="inlineStr">
        <is>
          <t>A grower was paid for fruit that the linked customer order doesn't itemise (case 12), or almost the entire order has no settled fruit behind it (case 1). These usually mean a missing/changed order line, a product substitution between packing and invoicing, or a load linked to the wrong order. The question to answer: what was the customer ACTUALLY invoiced for those boxes?</t>
        </is>
      </c>
    </row>
    <row r="12">
      <c r="B12" s="31" t="inlineStr">
        <is>
          <t>Pattern D — Grower price differs from customer price   (cases 9, 10, 11)</t>
        </is>
      </c>
    </row>
    <row r="13" ht="84" customHeight="1">
      <c r="B13" s="3" t="inlineStr">
        <is>
          <t>Boxes match but the per-box price paid to the grower is below the per-box price on the order. On green fruit to (apparently) internal manifest loads (9, 10) this may be deliberate ripening margin — which matters for the revenue-definition work, because margin taken as a price spread bypasses the commission/charge system. Case 11 (external, ripe fruit, split settlement) looks more like a claim or price adjustment that should have been an itemised deduction instead.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2026-07-09T08:32:14Z</dcterms:created>
  <dcterms:modified xmlns:dcterms="http://purl.org/dc/terms/" xmlns:xsi="http://www.w3.org/2001/XMLSchema-instance" xsi:type="dcterms:W3CDTF">2026-07-09T08:32:14Z</dcterms:modified>
</cp:coreProperties>
</file>